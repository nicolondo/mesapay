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o de mercado" sheetId="1" state="visible" r:id="rId1"/>
    <sheet name="Prospectos" sheetId="2" state="visible" r:id="rId2"/>
  </sheets>
  <definedNames>
    <definedName name="_xlnm._FilterDatabase" localSheetId="1" hidden="1">'Prospectos'!$A$1:$N$47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6B4C"/>
      <sz val="10"/>
    </font>
    <font>
      <name val="Arial"/>
      <b val="1"/>
      <color rgb="00C9532E"/>
      <sz val="10"/>
    </font>
    <font>
      <name val="Arial"/>
      <color rgb="006B6259"/>
      <sz val="10"/>
    </font>
    <font>
      <name val="Arial"/>
      <b val="1"/>
      <color rgb="001A1613"/>
      <sz val="16"/>
    </font>
    <font>
      <name val="Arial"/>
      <b val="1"/>
      <color rgb="00C9532E"/>
      <sz val="12"/>
    </font>
    <font>
      <name val="Arial"/>
      <i val="1"/>
      <color rgb="008F867C"/>
      <sz val="8"/>
    </font>
    <font>
      <name val="Arial"/>
      <color rgb="00423B35"/>
      <sz val="9"/>
    </font>
  </fonts>
  <fills count="4">
    <fill>
      <patternFill/>
    </fill>
    <fill>
      <patternFill patternType="gray125"/>
    </fill>
    <fill>
      <patternFill patternType="solid">
        <fgColor rgb="00C9532E"/>
      </patternFill>
    </fill>
    <fill>
      <patternFill patternType="solid">
        <fgColor rgb="00F5F1EA"/>
      </patternFill>
    </fill>
  </fills>
  <borders count="2">
    <border>
      <left/>
      <right/>
      <top/>
      <bottom/>
      <diagonal/>
    </border>
    <border>
      <bottom style="thin">
        <color rgb="00E5DED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3" fillId="3" borderId="0" pivotButton="0" quotePrefix="0" xfId="0"/>
    <xf numFmtId="0" fontId="1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MESAPAY · Estudio de mercado — Restaurantes aptos en Medellín</t>
        </is>
      </c>
    </row>
    <row r="2">
      <c r="A2" s="2" t="inlineStr">
        <is>
          <t>Prospección comercial · Valle de Aburrá · Junio 2026</t>
        </is>
      </c>
    </row>
    <row r="4">
      <c r="A4" s="3" t="inlineStr">
        <is>
          <t>1 · Contexto de mercado (Colombia)</t>
        </is>
      </c>
    </row>
    <row r="5">
      <c r="A5" s="4" t="inlineStr">
        <is>
          <t>•  ~95% de los establecimientos gastronómicos son independientes (no-cadena).</t>
        </is>
      </c>
      <c r="E5" s="5" t="inlineStr">
        <is>
          <t>Fuente: ACODRES — vía Estudio de mercado MESAPAY, jun 2026</t>
        </is>
      </c>
    </row>
    <row r="6">
      <c r="A6" s="4" t="inlineStr">
        <is>
          <t>•  Ventas de food service: +7% en 2023 → ≈ US$14.000 millones.</t>
        </is>
      </c>
      <c r="E6" s="5" t="inlineStr">
        <is>
          <t>Fuente: USDA FAS Bogotá — vía Estudio de mercado MESAPAY</t>
        </is>
      </c>
    </row>
    <row r="7">
      <c r="A7" s="4" t="inlineStr">
        <is>
          <t>•  54,6% de micro/pequeños comercios aceptan pagos inmediatos; 29,4% ya tiene QR interoperable.</t>
        </is>
      </c>
      <c r="E7" s="5" t="inlineStr">
        <is>
          <t>Fuente: Encuesta Banco de la República 2025</t>
        </is>
      </c>
    </row>
    <row r="8">
      <c r="A8" s="4" t="inlineStr">
        <is>
          <t>•  Lectura: el pago por QR ya es un hábito en Colombia — no hay que evangelizar el medio, solo capturarlo en la mesa.</t>
        </is>
      </c>
    </row>
    <row r="10">
      <c r="A10" s="3" t="inlineStr">
        <is>
          <t>2 · Criterios de aptitud usados</t>
        </is>
      </c>
    </row>
    <row r="11">
      <c r="A11" s="4" t="inlineStr">
        <is>
          <t>•  Servicio a la mesa con ~15+ mesas y buen volumen (el núcleo del producto).</t>
        </is>
      </c>
    </row>
    <row r="12">
      <c r="A12" s="4" t="inlineStr">
        <is>
          <t>•  Grupos y cadenas locales con 2+ sedes (multi-sucursal = mayor valor por cuenta).</t>
        </is>
      </c>
    </row>
    <row r="13">
      <c r="A13" s="4" t="inlineStr">
        <is>
          <t>•  Alta cocina con reservas — encaje directo con reservas + depósito online.</t>
        </is>
      </c>
    </row>
    <row r="14">
      <c r="A14" s="4" t="inlineStr">
        <is>
          <t>•  Mostrador con filas largas (cafés/heladerías) como caso secundario de pedido-pago QR sin fila.</t>
        </is>
      </c>
    </row>
    <row r="15">
      <c r="A15" s="4" t="inlineStr">
        <is>
          <t>•  Se excluyeron franquicias multinacionales de comida rápida.</t>
        </is>
      </c>
    </row>
    <row r="17">
      <c r="A17" s="3" t="inlineStr">
        <is>
          <t>3 · Priorización</t>
        </is>
      </c>
    </row>
    <row r="18">
      <c r="A18" s="4" t="inlineStr">
        <is>
          <t>•  A — Atacar primero: grupos/cadenas locales y alta cocina con datos de contacto directos verificados.</t>
        </is>
      </c>
    </row>
    <row r="19">
      <c r="A19" s="4" t="inlineStr">
        <is>
          <t>•  B — Segunda ola: independientes medio/alto con teléfono verificado.</t>
        </is>
      </c>
    </row>
    <row r="20">
      <c r="A20" s="4" t="inlineStr">
        <is>
          <t>•  C — Requiere trabajo extra: sin contacto público verificado (abordar por Instagram o visita) o cuentas aspiracionales.</t>
        </is>
      </c>
    </row>
    <row r="22">
      <c r="A22" s="3" t="inlineStr">
        <is>
          <t>4 · Resumen del listado (se recalcula solo)</t>
        </is>
      </c>
    </row>
    <row r="23">
      <c r="A23" s="4" t="inlineStr">
        <is>
          <t>Total de prospectos</t>
        </is>
      </c>
      <c r="B23" s="6">
        <f>COUNTA(Prospectos!B2:B47)</f>
        <v/>
      </c>
    </row>
    <row r="24">
      <c r="A24" s="4" t="inlineStr">
        <is>
          <t>Prioridad A (atacar primero)</t>
        </is>
      </c>
      <c r="B24" s="6">
        <f>COUNTIF(Prospectos!C2:C47,"A")</f>
        <v/>
      </c>
    </row>
    <row r="25">
      <c r="A25" s="4" t="inlineStr">
        <is>
          <t>Prioridad B (segunda ola)</t>
        </is>
      </c>
      <c r="B25" s="6">
        <f>COUNTIF(Prospectos!C2:C47,"B")</f>
        <v/>
      </c>
    </row>
    <row r="26">
      <c r="A26" s="4" t="inlineStr">
        <is>
          <t>Prioridad C (trabajo extra)</t>
        </is>
      </c>
      <c r="B26" s="6">
        <f>COUNTIF(Prospectos!C2:C47,"C")</f>
        <v/>
      </c>
    </row>
    <row r="27">
      <c r="A27" s="4" t="inlineStr">
        <is>
          <t>Con teléfono verificado</t>
        </is>
      </c>
      <c r="B27" s="6">
        <f>COUNTIF(Prospectos!I2:I47,"?*")</f>
        <v/>
      </c>
    </row>
    <row r="28">
      <c r="A28" s="4" t="inlineStr">
        <is>
          <t>Con email verificado</t>
        </is>
      </c>
      <c r="B28" s="6">
        <f>COUNTIF(Prospectos!J2:J47,"?*")</f>
        <v/>
      </c>
    </row>
    <row r="29">
      <c r="A29" s="4" t="inlineStr">
        <is>
          <t>Multi-sede / grupos</t>
        </is>
      </c>
      <c r="B29" s="6">
        <f>COUNTIF(Prospectos!D2:D47,"Multi-sede")</f>
        <v/>
      </c>
    </row>
    <row r="30">
      <c r="A30" s="4" t="inlineStr">
        <is>
          <t>El Poblado</t>
        </is>
      </c>
      <c r="B30" s="6">
        <f>COUNTIF(Prospectos!D2:D47,"El Poblado")</f>
        <v/>
      </c>
    </row>
    <row r="31">
      <c r="A31" s="4" t="inlineStr">
        <is>
          <t>Laureles + La 70</t>
        </is>
      </c>
      <c r="B31" s="6">
        <f>COUNTIF(Prospectos!D2:D47,"Laureles")+COUNTIF(Prospectos!D2:D47,"La 70")</f>
        <v/>
      </c>
    </row>
    <row r="32">
      <c r="A32" s="4" t="inlineStr">
        <is>
          <t>Envigado + Sabaneta</t>
        </is>
      </c>
      <c r="B32" s="6">
        <f>COUNTIF(Prospectos!D2:D47,"Envigado")+COUNTIF(Prospectos!D2:D47,"Sabaneta")</f>
        <v/>
      </c>
    </row>
    <row r="33">
      <c r="A33" s="4" t="inlineStr">
        <is>
          <t>Plan sugerido Premium</t>
        </is>
      </c>
      <c r="B33" s="6">
        <f>COUNTIF(Prospectos!H2:H47,"Premium")</f>
        <v/>
      </c>
    </row>
    <row r="34">
      <c r="A34" s="4" t="inlineStr">
        <is>
          <t>Plan sugerido Pro</t>
        </is>
      </c>
      <c r="B34" s="6">
        <f>COUNTIF(Prospectos!H2:H47,"Pro")</f>
        <v/>
      </c>
    </row>
    <row r="35">
      <c r="A35" s="4" t="inlineStr">
        <is>
          <t>Plan sugerido Esencial</t>
        </is>
      </c>
      <c r="B35" s="6">
        <f>COUNTIF(Prospectos!H2:H47,"Esencial")</f>
        <v/>
      </c>
    </row>
    <row r="37">
      <c r="A37" s="3" t="inlineStr">
        <is>
          <t>5 · Metodología y descargo</t>
        </is>
      </c>
    </row>
    <row r="38">
      <c r="A38" s="7" t="inlineStr">
        <is>
          <t>•  Investigación web (guías locales, Degusta, Medellín Gourmet, TripAdvisor, sitios oficiales e Instagram), junio 2026.</t>
        </is>
      </c>
    </row>
    <row r="39">
      <c r="A39" s="7" t="inlineStr">
        <is>
          <t>•  Teléfonos y emails tomados ÚNICAMENTE de fuentes oficiales (sitio del restaurante, bio de Instagram, Google Business).</t>
        </is>
      </c>
    </row>
    <row r="40">
      <c r="A40" s="7" t="inlineStr">
        <is>
          <t>•  Los campos vacíos significan 'no publicado' — no se inventaron datos. Verificar contactos antes de campañas masivas.</t>
        </is>
      </c>
    </row>
    <row r="41">
      <c r="A41" s="7" t="inlineStr">
        <is>
          <t>•  Uso comercial responsable: contacto 1-a-1 personalizado (no spam) y cumplimiento de habeas data (Ley 1581 de 2012).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9" customWidth="1" min="3" max="3"/>
    <col width="12" customWidth="1" min="4" max="4"/>
    <col width="24" customWidth="1" min="5" max="5"/>
    <col width="16" customWidth="1" min="6" max="6"/>
    <col width="18" customWidth="1" min="7" max="7"/>
    <col width="12" customWidth="1" min="8" max="8"/>
    <col width="18" customWidth="1" min="9" max="9"/>
    <col width="30" customWidth="1" min="10" max="10"/>
    <col width="24" customWidth="1" min="11" max="11"/>
    <col width="30" customWidth="1" min="12" max="12"/>
    <col width="32" customWidth="1" min="13" max="13"/>
    <col width="52" customWidth="1" min="14" max="14"/>
  </cols>
  <sheetData>
    <row r="1">
      <c r="A1" s="8" t="inlineStr">
        <is>
          <t>#</t>
        </is>
      </c>
      <c r="B1" s="8" t="inlineStr">
        <is>
          <t>Nombre</t>
        </is>
      </c>
      <c r="C1" s="8" t="inlineStr">
        <is>
          <t>Prioridad</t>
        </is>
      </c>
      <c r="D1" s="8" t="inlineStr">
        <is>
          <t>Zona</t>
        </is>
      </c>
      <c r="E1" s="8" t="inlineStr">
        <is>
          <t>Cocina</t>
        </is>
      </c>
      <c r="F1" s="8" t="inlineStr">
        <is>
          <t>Segmento</t>
        </is>
      </c>
      <c r="G1" s="8" t="inlineStr">
        <is>
          <t>Sedes</t>
        </is>
      </c>
      <c r="H1" s="8" t="inlineStr">
        <is>
          <t>Plan sugerido</t>
        </is>
      </c>
      <c r="I1" s="8" t="inlineStr">
        <is>
          <t>Teléfono</t>
        </is>
      </c>
      <c r="J1" s="8" t="inlineStr">
        <is>
          <t>Email</t>
        </is>
      </c>
      <c r="K1" s="8" t="inlineStr">
        <is>
          <t>Instagram</t>
        </is>
      </c>
      <c r="L1" s="8" t="inlineStr">
        <is>
          <t>Web</t>
        </is>
      </c>
      <c r="M1" s="8" t="inlineStr">
        <is>
          <t>Fuente del contacto</t>
        </is>
      </c>
      <c r="N1" s="8" t="inlineStr">
        <is>
          <t>Por qué es apto / Notas</t>
        </is>
      </c>
    </row>
    <row r="2">
      <c r="A2" s="4" t="n">
        <v>1</v>
      </c>
      <c r="B2" s="9" t="inlineStr">
        <is>
          <t>Grupo Carmen (Carmen · X.O · Moshi · Don Diablo)</t>
        </is>
      </c>
      <c r="C2" s="10" t="inlineStr">
        <is>
          <t>A</t>
        </is>
      </c>
      <c r="D2" s="11" t="inlineStr">
        <is>
          <t>El Poblado</t>
        </is>
      </c>
      <c r="E2" s="11" t="inlineStr">
        <is>
          <t>Alta cocina colombiana / nikkei</t>
        </is>
      </c>
      <c r="F2" s="11" t="inlineStr">
        <is>
          <t>Grupo premium</t>
        </is>
      </c>
      <c r="G2" s="11" t="inlineStr">
        <is>
          <t>5 marcas</t>
        </is>
      </c>
      <c r="H2" s="11" t="inlineStr">
        <is>
          <t>Premium</t>
        </is>
      </c>
      <c r="I2" s="11" t="inlineStr">
        <is>
          <t>+57 316 625 4896</t>
        </is>
      </c>
      <c r="J2" s="11" t="inlineStr">
        <is>
          <t>reservas@carmenmedellin.com</t>
        </is>
      </c>
      <c r="K2" s="11" t="inlineStr">
        <is>
          <t>@carmenrestaurante</t>
        </is>
      </c>
      <c r="L2" s="11" t="inlineStr">
        <is>
          <t>carmenmedellin.com</t>
        </is>
      </c>
      <c r="M2" s="11" t="inlineStr">
        <is>
          <t>carmenmedellin.com</t>
        </is>
      </c>
      <c r="N2" s="11" t="inlineStr">
        <is>
          <t>Buque insignia de Provenza; reservas llenas; un decisor para 5 marcas.</t>
        </is>
      </c>
    </row>
    <row r="3">
      <c r="A3" s="4" t="n">
        <v>2</v>
      </c>
      <c r="B3" s="9" t="inlineStr">
        <is>
          <t>X.O</t>
        </is>
      </c>
      <c r="C3" s="10" t="inlineStr">
        <is>
          <t>A</t>
        </is>
      </c>
      <c r="D3" s="11" t="inlineStr">
        <is>
          <t>El Poblado</t>
        </is>
      </c>
      <c r="E3" s="11" t="inlineStr">
        <is>
          <t>Cocina de autor colombiana</t>
        </is>
      </c>
      <c r="F3" s="11" t="inlineStr">
        <is>
          <t>Alta cocina</t>
        </is>
      </c>
      <c r="G3" s="11" t="inlineStr">
        <is>
          <t>Grupo Carmen</t>
        </is>
      </c>
      <c r="H3" s="11" t="inlineStr">
        <is>
          <t>Premium</t>
        </is>
      </c>
      <c r="I3" s="11" t="n"/>
      <c r="J3" s="11" t="inlineStr">
        <is>
          <t>xo@carmenrestaurante.co</t>
        </is>
      </c>
      <c r="K3" s="11" t="inlineStr">
        <is>
          <t>@x.o.med</t>
        </is>
      </c>
      <c r="L3" s="11" t="inlineStr">
        <is>
          <t>xomedellin.co</t>
        </is>
      </c>
      <c r="M3" s="11" t="inlineStr">
        <is>
          <t>carmenmedellin.com/en/marcas/xo</t>
        </is>
      </c>
      <c r="N3" s="11" t="inlineStr">
        <is>
          <t>50 Best LatAm 2023-2025; puerta de entrada al Grupo Carmen.</t>
        </is>
      </c>
    </row>
    <row r="4">
      <c r="A4" s="4" t="n">
        <v>3</v>
      </c>
      <c r="B4" s="9" t="inlineStr">
        <is>
          <t>Grupo El Cielo (Elcielo Hospitality)</t>
        </is>
      </c>
      <c r="C4" s="10" t="inlineStr">
        <is>
          <t>A</t>
        </is>
      </c>
      <c r="D4" s="11" t="inlineStr">
        <is>
          <t>El Poblado</t>
        </is>
      </c>
      <c r="E4" s="11" t="inlineStr">
        <is>
          <t>Alta cocina de vanguardia</t>
        </is>
      </c>
      <c r="F4" s="11" t="inlineStr">
        <is>
          <t>Grupo (4 rest. + hotel)</t>
        </is>
      </c>
      <c r="G4" s="11" t="inlineStr">
        <is>
          <t>4+ sedes</t>
        </is>
      </c>
      <c r="H4" s="11" t="inlineStr">
        <is>
          <t>Premium</t>
        </is>
      </c>
      <c r="I4" s="11" t="inlineStr">
        <is>
          <t>+57 304 336 2873</t>
        </is>
      </c>
      <c r="J4" s="11" t="inlineStr">
        <is>
          <t>comercial@elcielohotel.com</t>
        </is>
      </c>
      <c r="K4" s="11" t="inlineStr">
        <is>
          <t>@elcielorestaurant</t>
        </is>
      </c>
      <c r="L4" s="11" t="inlineStr">
        <is>
          <t>elcielogroup.com</t>
        </is>
      </c>
      <c r="M4" s="11" t="inlineStr">
        <is>
          <t>elcielohotel.com/en/about-us</t>
        </is>
      </c>
      <c r="N4" s="11" t="inlineStr">
        <is>
          <t>Multi-ciudad (MDE/BOG/Miami/DC); menú degustación prepagado.</t>
        </is>
      </c>
    </row>
    <row r="5">
      <c r="A5" s="4" t="n">
        <v>4</v>
      </c>
      <c r="B5" s="9" t="inlineStr">
        <is>
          <t>OCIO (OCI.mde)</t>
        </is>
      </c>
      <c r="C5" s="10" t="inlineStr">
        <is>
          <t>A</t>
        </is>
      </c>
      <c r="D5" s="11" t="inlineStr">
        <is>
          <t>El Poblado</t>
        </is>
      </c>
      <c r="E5" s="11" t="inlineStr">
        <is>
          <t>Cocina de autor / fuego</t>
        </is>
      </c>
      <c r="F5" s="11" t="inlineStr">
        <is>
          <t>Alta cocina</t>
        </is>
      </c>
      <c r="G5" s="11" t="inlineStr">
        <is>
          <t>1</t>
        </is>
      </c>
      <c r="H5" s="11" t="inlineStr">
        <is>
          <t>Pro</t>
        </is>
      </c>
      <c r="I5" s="11" t="inlineStr">
        <is>
          <t>+57 318 240 2859</t>
        </is>
      </c>
      <c r="J5" s="11" t="inlineStr">
        <is>
          <t>info.omde@gmail.com</t>
        </is>
      </c>
      <c r="K5" s="11" t="inlineStr">
        <is>
          <t>@ocio.mde</t>
        </is>
      </c>
      <c r="L5" s="11" t="inlineStr">
        <is>
          <t>restauranteocio.com.co</t>
        </is>
      </c>
      <c r="M5" s="11" t="inlineStr">
        <is>
          <t>restauranteocio.com.co/contacto</t>
        </is>
      </c>
      <c r="N5" s="11" t="inlineStr">
        <is>
          <t>Ya usa CoverManager — adopta tecnología; reservas llenas.</t>
        </is>
      </c>
    </row>
    <row r="6">
      <c r="A6" s="4" t="n">
        <v>5</v>
      </c>
      <c r="B6" s="9" t="inlineStr">
        <is>
          <t>Idílico</t>
        </is>
      </c>
      <c r="C6" s="10" t="inlineStr">
        <is>
          <t>A</t>
        </is>
      </c>
      <c r="D6" s="11" t="inlineStr">
        <is>
          <t>El Poblado</t>
        </is>
      </c>
      <c r="E6" s="11" t="inlineStr">
        <is>
          <t>Alta cocina / entorno</t>
        </is>
      </c>
      <c r="F6" s="11" t="inlineStr">
        <is>
          <t>Alta cocina</t>
        </is>
      </c>
      <c r="G6" s="11" t="inlineStr">
        <is>
          <t>1</t>
        </is>
      </c>
      <c r="H6" s="11" t="inlineStr">
        <is>
          <t>Pro</t>
        </is>
      </c>
      <c r="I6" s="11" t="inlineStr">
        <is>
          <t>+57 313 522 0529</t>
        </is>
      </c>
      <c r="J6" s="11" t="inlineStr">
        <is>
          <t>contacto@restauranteidilico.com</t>
        </is>
      </c>
      <c r="K6" s="11" t="inlineStr">
        <is>
          <t>@idilico.restaurante</t>
        </is>
      </c>
      <c r="L6" s="11" t="inlineStr">
        <is>
          <t>restauranteidilico.com</t>
        </is>
      </c>
      <c r="M6" s="11" t="inlineStr">
        <is>
          <t>restauranteidilico.com</t>
        </is>
      </c>
      <c r="N6" s="11" t="inlineStr">
        <is>
          <t>YA cobra depósito de $50.000 por reserva — calza exacto con depósitos MESAPAY.</t>
        </is>
      </c>
    </row>
    <row r="7">
      <c r="A7" s="4" t="n">
        <v>6</v>
      </c>
      <c r="B7" s="9" t="inlineStr">
        <is>
          <t>Mar y Fuego</t>
        </is>
      </c>
      <c r="C7" s="10" t="inlineStr">
        <is>
          <t>A</t>
        </is>
      </c>
      <c r="D7" s="11" t="inlineStr">
        <is>
          <t>El Poblado</t>
        </is>
      </c>
      <c r="E7" s="11" t="inlineStr">
        <is>
          <t>Autor / mar y brasas</t>
        </is>
      </c>
      <c r="F7" s="11" t="inlineStr">
        <is>
          <t>Medio-alto</t>
        </is>
      </c>
      <c r="G7" s="11" t="inlineStr">
        <is>
          <t>2 sedes</t>
        </is>
      </c>
      <c r="H7" s="11" t="inlineStr">
        <is>
          <t>Premium</t>
        </is>
      </c>
      <c r="I7" s="11" t="inlineStr">
        <is>
          <t>+57 304 616 0176</t>
        </is>
      </c>
      <c r="J7" s="11" t="inlineStr">
        <is>
          <t>reservas@maryfuego.com</t>
        </is>
      </c>
      <c r="K7" s="11" t="inlineStr">
        <is>
          <t>@maryfuego_med</t>
        </is>
      </c>
      <c r="L7" s="11" t="inlineStr">
        <is>
          <t>maryfuegobistro.com</t>
        </is>
      </c>
      <c r="M7" s="11" t="inlineStr">
        <is>
          <t>maryfuegobistro.com</t>
        </is>
      </c>
      <c r="N7" s="11" t="inlineStr">
        <is>
          <t>Premiado mejor cocina colombiana; lleno almuerzo y cena.</t>
        </is>
      </c>
    </row>
    <row r="8">
      <c r="A8" s="4" t="n">
        <v>7</v>
      </c>
      <c r="B8" s="9" t="inlineStr">
        <is>
          <t>La Pampa Parrilla Argentina</t>
        </is>
      </c>
      <c r="C8" s="10" t="inlineStr">
        <is>
          <t>A</t>
        </is>
      </c>
      <c r="D8" s="11" t="inlineStr">
        <is>
          <t>Multi-sede</t>
        </is>
      </c>
      <c r="E8" s="11" t="inlineStr">
        <is>
          <t>Parrilla argentina</t>
        </is>
      </c>
      <c r="F8" s="11" t="inlineStr">
        <is>
          <t>Medio-alto</t>
        </is>
      </c>
      <c r="G8" s="11" t="inlineStr">
        <is>
          <t>7 sedes</t>
        </is>
      </c>
      <c r="H8" s="11" t="inlineStr">
        <is>
          <t>Premium</t>
        </is>
      </c>
      <c r="I8" s="11" t="inlineStr">
        <is>
          <t>+57 304 366 6918</t>
        </is>
      </c>
      <c r="J8" s="11" t="inlineStr">
        <is>
          <t>reservaslapampa@gmail.com</t>
        </is>
      </c>
      <c r="K8" s="11" t="inlineStr">
        <is>
          <t>@lapampaparrillaargentina</t>
        </is>
      </c>
      <c r="L8" s="11" t="inlineStr">
        <is>
          <t>lapampaparrilla.com</t>
        </is>
      </c>
      <c r="M8" s="11" t="inlineStr">
        <is>
          <t>lapampaparrilla.com</t>
        </is>
      </c>
      <c r="N8" s="11" t="inlineStr">
        <is>
          <t>7 sedes locales con un decisor; noches de tango llenas.</t>
        </is>
      </c>
    </row>
    <row r="9">
      <c r="A9" s="4" t="n">
        <v>8</v>
      </c>
      <c r="B9" s="9" t="inlineStr">
        <is>
          <t>Mondongo's</t>
        </is>
      </c>
      <c r="C9" s="10" t="inlineStr">
        <is>
          <t>A</t>
        </is>
      </c>
      <c r="D9" s="11" t="inlineStr">
        <is>
          <t>Multi-sede</t>
        </is>
      </c>
      <c r="E9" s="11" t="inlineStr">
        <is>
          <t>Típica antioqueña</t>
        </is>
      </c>
      <c r="F9" s="11" t="inlineStr">
        <is>
          <t>Alto volumen</t>
        </is>
      </c>
      <c r="G9" s="11" t="inlineStr">
        <is>
          <t>3 sedes (2 MDE + Miami)</t>
        </is>
      </c>
      <c r="H9" s="11" t="inlineStr">
        <is>
          <t>Premium</t>
        </is>
      </c>
      <c r="I9" s="11" t="inlineStr">
        <is>
          <t>+57 310 263 1211</t>
        </is>
      </c>
      <c r="J9" s="11" t="n"/>
      <c r="K9" s="11" t="inlineStr">
        <is>
          <t>@mondongos</t>
        </is>
      </c>
      <c r="L9" s="11" t="inlineStr">
        <is>
          <t>mondongos.com.co</t>
        </is>
      </c>
      <c r="M9" s="11" t="inlineStr">
        <is>
          <t>mondongos.com.co/contacto</t>
        </is>
      </c>
      <c r="N9" s="11" t="inlineStr">
        <is>
          <t>Altísimo volumen y cuentas divididas; fijo (604) 411 3434.</t>
        </is>
      </c>
    </row>
    <row r="10">
      <c r="A10" s="4" t="n">
        <v>9</v>
      </c>
      <c r="B10" s="9" t="inlineStr">
        <is>
          <t>Hatoviejo</t>
        </is>
      </c>
      <c r="C10" s="10" t="inlineStr">
        <is>
          <t>A</t>
        </is>
      </c>
      <c r="D10" s="11" t="inlineStr">
        <is>
          <t>Multi-sede</t>
        </is>
      </c>
      <c r="E10" s="11" t="inlineStr">
        <is>
          <t>Antioqueña de mantel</t>
        </is>
      </c>
      <c r="F10" s="11" t="inlineStr">
        <is>
          <t>Alto volumen</t>
        </is>
      </c>
      <c r="G10" s="11" t="inlineStr">
        <is>
          <t>4 sedes</t>
        </is>
      </c>
      <c r="H10" s="11" t="inlineStr">
        <is>
          <t>Premium</t>
        </is>
      </c>
      <c r="I10" s="11" t="inlineStr">
        <is>
          <t>+57 604 322 8998</t>
        </is>
      </c>
      <c r="J10" s="11" t="inlineStr">
        <is>
          <t>palmas@hatoviejo.com</t>
        </is>
      </c>
      <c r="K10" s="11" t="inlineStr">
        <is>
          <t>@restaurante_hatoviejo</t>
        </is>
      </c>
      <c r="L10" s="11" t="inlineStr">
        <is>
          <t>hatoviejo.com</t>
        </is>
      </c>
      <c r="M10" s="11" t="inlineStr">
        <is>
          <t>hatoviejo.com</t>
        </is>
      </c>
      <c r="N10" s="11" t="inlineStr">
        <is>
          <t>PBX central + email por sede (centro@, oviedo@, vivaenvigado@).</t>
        </is>
      </c>
    </row>
    <row r="11">
      <c r="A11" s="4" t="n">
        <v>10</v>
      </c>
      <c r="B11" s="9" t="inlineStr">
        <is>
          <t>La Causa Nikkei</t>
        </is>
      </c>
      <c r="C11" s="10" t="inlineStr">
        <is>
          <t>A</t>
        </is>
      </c>
      <c r="D11" s="11" t="inlineStr">
        <is>
          <t>Multi-sede</t>
        </is>
      </c>
      <c r="E11" s="11" t="inlineStr">
        <is>
          <t>Nikkei</t>
        </is>
      </c>
      <c r="F11" s="11" t="inlineStr">
        <is>
          <t>Medio</t>
        </is>
      </c>
      <c r="G11" s="11" t="inlineStr">
        <is>
          <t>7 sedes</t>
        </is>
      </c>
      <c r="H11" s="11" t="inlineStr">
        <is>
          <t>Premium</t>
        </is>
      </c>
      <c r="I11" s="11" t="inlineStr">
        <is>
          <t>+57 316 222 8129</t>
        </is>
      </c>
      <c r="J11" s="11" t="inlineStr">
        <is>
          <t>mercadeo.lacausa@gmail.com</t>
        </is>
      </c>
      <c r="K11" s="11" t="inlineStr">
        <is>
          <t>@lacausa_colombia</t>
        </is>
      </c>
      <c r="L11" s="11" t="inlineStr">
        <is>
          <t>lacausa.com.co</t>
        </is>
      </c>
      <c r="M11" s="11" t="inlineStr">
        <is>
          <t>lacausa.com.co/locales</t>
        </is>
      </c>
      <c r="N11" s="11" t="inlineStr">
        <is>
          <t>7 sedes con teléfonos separados — dolor claro multi-sucursal.</t>
        </is>
      </c>
    </row>
    <row r="12">
      <c r="A12" s="4" t="n">
        <v>11</v>
      </c>
      <c r="B12" s="9" t="inlineStr">
        <is>
          <t>El Correo y Amada</t>
        </is>
      </c>
      <c r="C12" s="10" t="inlineStr">
        <is>
          <t>A</t>
        </is>
      </c>
      <c r="D12" s="11" t="inlineStr">
        <is>
          <t>Multi-sede</t>
        </is>
      </c>
      <c r="E12" s="11" t="inlineStr">
        <is>
          <t>Carnes y vino</t>
        </is>
      </c>
      <c r="F12" s="11" t="inlineStr">
        <is>
          <t>Medio-alto</t>
        </is>
      </c>
      <c r="G12" s="11" t="inlineStr">
        <is>
          <t>7+ sedes · 2 marcas</t>
        </is>
      </c>
      <c r="H12" s="11" t="inlineStr">
        <is>
          <t>Premium</t>
        </is>
      </c>
      <c r="I12" s="11" t="inlineStr">
        <is>
          <t>+57 310 769 3578</t>
        </is>
      </c>
      <c r="J12" s="11" t="n"/>
      <c r="K12" s="11" t="inlineStr">
        <is>
          <t>@elcorreoyamada</t>
        </is>
      </c>
      <c r="L12" s="11" t="inlineStr">
        <is>
          <t>elcorreoyamada.com</t>
        </is>
      </c>
      <c r="M12" s="11" t="inlineStr">
        <is>
          <t>elcorreoyamada.com/sedes-y-reservas</t>
        </is>
      </c>
      <c r="N12" s="11" t="inlineStr">
        <is>
          <t>Expansión nacional; reservas por WhatsApp por sede.</t>
        </is>
      </c>
    </row>
    <row r="13">
      <c r="A13" s="4" t="n">
        <v>12</v>
      </c>
      <c r="B13" s="9" t="inlineStr">
        <is>
          <t>Il Forno (Grupo La Receta)</t>
        </is>
      </c>
      <c r="C13" s="10" t="inlineStr">
        <is>
          <t>A</t>
        </is>
      </c>
      <c r="D13" s="11" t="inlineStr">
        <is>
          <t>Multi-sede</t>
        </is>
      </c>
      <c r="E13" s="11" t="inlineStr">
        <is>
          <t>Italiana casual</t>
        </is>
      </c>
      <c r="F13" s="11" t="inlineStr">
        <is>
          <t>Cadena</t>
        </is>
      </c>
      <c r="G13" s="11" t="inlineStr">
        <is>
          <t>20+ sedes</t>
        </is>
      </c>
      <c r="H13" s="11" t="inlineStr">
        <is>
          <t>Premium</t>
        </is>
      </c>
      <c r="I13" s="11" t="inlineStr">
        <is>
          <t>+57 333 033 4633</t>
        </is>
      </c>
      <c r="J13" s="11" t="inlineStr">
        <is>
          <t>sac@lareceta.co</t>
        </is>
      </c>
      <c r="K13" s="11" t="inlineStr">
        <is>
          <t>@ilfornocolombia</t>
        </is>
      </c>
      <c r="L13" s="11" t="inlineStr">
        <is>
          <t>ilforno.co</t>
        </is>
      </c>
      <c r="M13" s="11" t="inlineStr">
        <is>
          <t>ilforno.co/contacto</t>
        </is>
      </c>
      <c r="N13" s="11" t="inlineStr">
        <is>
          <t>Grupo gastronómico paisa; la cuenta corporativa de mayor valor.</t>
        </is>
      </c>
    </row>
    <row r="14">
      <c r="A14" s="4" t="n">
        <v>13</v>
      </c>
      <c r="B14" s="9" t="inlineStr">
        <is>
          <t>Candilejas (Grupo Espina)</t>
        </is>
      </c>
      <c r="C14" s="10" t="inlineStr">
        <is>
          <t>A</t>
        </is>
      </c>
      <c r="D14" s="11" t="inlineStr">
        <is>
          <t>Sabaneta</t>
        </is>
      </c>
      <c r="E14" s="11" t="inlineStr">
        <is>
          <t>Colombiana tradicional</t>
        </is>
      </c>
      <c r="F14" s="11" t="inlineStr">
        <is>
          <t>Medio</t>
        </is>
      </c>
      <c r="G14" s="11" t="inlineStr">
        <is>
          <t>7 sedes</t>
        </is>
      </c>
      <c r="H14" s="11" t="inlineStr">
        <is>
          <t>Premium</t>
        </is>
      </c>
      <c r="I14" s="11" t="inlineStr">
        <is>
          <t>+57 321 522 5924</t>
        </is>
      </c>
      <c r="J14" s="11" t="inlineStr">
        <is>
          <t>pqrs@geospina.com</t>
        </is>
      </c>
      <c r="K14" s="11" t="inlineStr">
        <is>
          <t>@restcandilejas</t>
        </is>
      </c>
      <c r="L14" s="11" t="inlineStr">
        <is>
          <t>restaurantecandilejas.co</t>
        </is>
      </c>
      <c r="M14" s="11" t="inlineStr">
        <is>
          <t>restaurantecandilejas.co/sedes</t>
        </is>
      </c>
      <c r="N14" s="11" t="inlineStr">
        <is>
          <t>Sede nueva en el parque; grupo con 7 sedes en Antioquia.</t>
        </is>
      </c>
    </row>
    <row r="15">
      <c r="A15" s="4" t="n">
        <v>14</v>
      </c>
      <c r="B15" s="9" t="inlineStr">
        <is>
          <t>Pizzería Olivia</t>
        </is>
      </c>
      <c r="C15" s="10" t="inlineStr">
        <is>
          <t>A</t>
        </is>
      </c>
      <c r="D15" s="11" t="inlineStr">
        <is>
          <t>Multi-sede</t>
        </is>
      </c>
      <c r="E15" s="11" t="inlineStr">
        <is>
          <t>Pizza napolitana</t>
        </is>
      </c>
      <c r="F15" s="11" t="inlineStr">
        <is>
          <t>Medio</t>
        </is>
      </c>
      <c r="G15" s="11" t="inlineStr">
        <is>
          <t>~15 sedes</t>
        </is>
      </c>
      <c r="H15" s="11" t="inlineStr">
        <is>
          <t>Premium</t>
        </is>
      </c>
      <c r="I15" s="11" t="inlineStr">
        <is>
          <t>+57 604 250 7785</t>
        </is>
      </c>
      <c r="J15" s="11" t="n"/>
      <c r="K15" s="11" t="inlineStr">
        <is>
          <t>@pizzeriaolivia</t>
        </is>
      </c>
      <c r="L15" s="11" t="inlineStr">
        <is>
          <t>pizzeriaolivia.co</t>
        </is>
      </c>
      <c r="M15" s="11" t="inlineStr">
        <is>
          <t>degusta.com.co (ficha Olivia Laureles)</t>
        </is>
      </c>
      <c r="N15" s="11" t="inlineStr">
        <is>
          <t>Ya usan reservas digitales (Cluvi); filas de fin de semana.</t>
        </is>
      </c>
    </row>
    <row r="16">
      <c r="A16" s="4" t="n">
        <v>15</v>
      </c>
      <c r="B16" s="9" t="inlineStr">
        <is>
          <t>Pergamino Café [mostrador]</t>
        </is>
      </c>
      <c r="C16" s="10" t="inlineStr">
        <is>
          <t>A</t>
        </is>
      </c>
      <c r="D16" s="11" t="inlineStr">
        <is>
          <t>Multi-sede</t>
        </is>
      </c>
      <c r="E16" s="11" t="inlineStr">
        <is>
          <t>Café de especialidad</t>
        </is>
      </c>
      <c r="F16" s="11" t="inlineStr">
        <is>
          <t>Mostrador / filas</t>
        </is>
      </c>
      <c r="G16" s="11" t="inlineStr">
        <is>
          <t>10+ tiendas</t>
        </is>
      </c>
      <c r="H16" s="11" t="inlineStr">
        <is>
          <t>Premium</t>
        </is>
      </c>
      <c r="I16" s="11" t="inlineStr">
        <is>
          <t>+57 318 821 1303</t>
        </is>
      </c>
      <c r="J16" s="11" t="inlineStr">
        <is>
          <t>servicio@pergamino.co</t>
        </is>
      </c>
      <c r="K16" s="11" t="inlineStr">
        <is>
          <t>@pergaminocafe</t>
        </is>
      </c>
      <c r="L16" s="11" t="inlineStr">
        <is>
          <t>co.pergamino.co</t>
        </is>
      </c>
      <c r="M16" s="11" t="inlineStr">
        <is>
          <t>co.pergamino.co</t>
        </is>
      </c>
      <c r="N16" s="11" t="inlineStr">
        <is>
          <t>Filas todo el día; caso pickup por QR; cadena local fuerte.</t>
        </is>
      </c>
    </row>
    <row r="17">
      <c r="A17" s="4" t="n">
        <v>16</v>
      </c>
      <c r="B17" s="9" t="inlineStr">
        <is>
          <t>San Carbón</t>
        </is>
      </c>
      <c r="C17" s="10" t="inlineStr">
        <is>
          <t>A</t>
        </is>
      </c>
      <c r="D17" s="11" t="inlineStr">
        <is>
          <t>Las Palmas</t>
        </is>
      </c>
      <c r="E17" s="11" t="inlineStr">
        <is>
          <t>Parrilla / carbón</t>
        </is>
      </c>
      <c r="F17" s="11" t="inlineStr">
        <is>
          <t>Alto</t>
        </is>
      </c>
      <c r="G17" s="11" t="inlineStr">
        <is>
          <t>1 gran formato</t>
        </is>
      </c>
      <c r="H17" s="11" t="inlineStr">
        <is>
          <t>Pro</t>
        </is>
      </c>
      <c r="I17" s="11" t="inlineStr">
        <is>
          <t>+57 604 444 7602</t>
        </is>
      </c>
      <c r="J17" s="11" t="inlineStr">
        <is>
          <t>comercial@sancarbon.com.co</t>
        </is>
      </c>
      <c r="K17" s="11" t="inlineStr">
        <is>
          <t>@sancarbon</t>
        </is>
      </c>
      <c r="L17" s="11" t="inlineStr">
        <is>
          <t>sancarbon.com.co</t>
        </is>
      </c>
      <c r="M17" s="11" t="inlineStr">
        <is>
          <t>sancarbon.com.co/reservacion</t>
        </is>
      </c>
      <c r="N17" s="11" t="inlineStr">
        <is>
          <t>Eventos corporativos y catas; cuentas grandes con split.</t>
        </is>
      </c>
    </row>
    <row r="18">
      <c r="A18" s="4" t="n">
        <v>17</v>
      </c>
      <c r="B18" s="9" t="inlineStr">
        <is>
          <t>Rocoto Cocina Peruana</t>
        </is>
      </c>
      <c r="C18" s="10" t="inlineStr">
        <is>
          <t>A</t>
        </is>
      </c>
      <c r="D18" s="11" t="inlineStr">
        <is>
          <t>El Poblado</t>
        </is>
      </c>
      <c r="E18" s="11" t="inlineStr">
        <is>
          <t>Peruana</t>
        </is>
      </c>
      <c r="F18" s="11" t="inlineStr">
        <is>
          <t>Medio-alto</t>
        </is>
      </c>
      <c r="G18" s="11" t="inlineStr">
        <is>
          <t>3 sedes</t>
        </is>
      </c>
      <c r="H18" s="11" t="inlineStr">
        <is>
          <t>Premium</t>
        </is>
      </c>
      <c r="I18" s="11" t="inlineStr">
        <is>
          <t>+57 300 119 5682</t>
        </is>
      </c>
      <c r="J18" s="11" t="n"/>
      <c r="K18" s="11" t="inlineStr">
        <is>
          <t>@rocotorestaurante</t>
        </is>
      </c>
      <c r="L18" s="11" t="inlineStr">
        <is>
          <t>rocotorestaurante.com</t>
        </is>
      </c>
      <c r="M18" s="11" t="inlineStr">
        <is>
          <t>rocotorestaurante.com</t>
        </is>
      </c>
      <c r="N18" s="11" t="inlineStr">
        <is>
          <t>3 sedes; terraza jardín concurrida; platos para compartir.</t>
        </is>
      </c>
    </row>
    <row r="19">
      <c r="A19" s="4" t="n">
        <v>18</v>
      </c>
      <c r="B19" s="9" t="inlineStr">
        <is>
          <t>Sambombi Bistró Local</t>
        </is>
      </c>
      <c r="C19" s="10" t="inlineStr">
        <is>
          <t>A</t>
        </is>
      </c>
      <c r="D19" s="11" t="inlineStr">
        <is>
          <t>El Poblado</t>
        </is>
      </c>
      <c r="E19" s="11" t="inlineStr">
        <is>
          <t>Bistró de autor</t>
        </is>
      </c>
      <c r="F19" s="11" t="inlineStr">
        <is>
          <t>Alta cocina</t>
        </is>
      </c>
      <c r="G19" s="11" t="inlineStr">
        <is>
          <t>1</t>
        </is>
      </c>
      <c r="H19" s="11" t="inlineStr">
        <is>
          <t>Pro</t>
        </is>
      </c>
      <c r="I19" s="11" t="inlineStr">
        <is>
          <t>+57 305 487 5058</t>
        </is>
      </c>
      <c r="J19" s="11" t="n"/>
      <c r="K19" s="11" t="inlineStr">
        <is>
          <t>@sambombi.bistro</t>
        </is>
      </c>
      <c r="L19" s="11" t="inlineStr">
        <is>
          <t>sambombi.com</t>
        </is>
      </c>
      <c r="M19" s="11" t="inlineStr">
        <is>
          <t>sambombi.com</t>
        </is>
      </c>
      <c r="N19" s="11" t="inlineStr">
        <is>
          <t>50 Best Discovery; doble turno por reserva; equipo pequeño.</t>
        </is>
      </c>
    </row>
    <row r="20">
      <c r="A20" s="4" t="n">
        <v>19</v>
      </c>
      <c r="B20" s="9" t="inlineStr">
        <is>
          <t>Barcal</t>
        </is>
      </c>
      <c r="C20" s="12" t="inlineStr">
        <is>
          <t>B</t>
        </is>
      </c>
      <c r="D20" s="11" t="inlineStr">
        <is>
          <t>El Poblado</t>
        </is>
      </c>
      <c r="E20" s="11" t="inlineStr">
        <is>
          <t>Colombiana contemporánea</t>
        </is>
      </c>
      <c r="F20" s="11" t="inlineStr">
        <is>
          <t>Alto</t>
        </is>
      </c>
      <c r="G20" s="11" t="inlineStr">
        <is>
          <t>1</t>
        </is>
      </c>
      <c r="H20" s="11" t="inlineStr">
        <is>
          <t>Pro</t>
        </is>
      </c>
      <c r="I20" s="11" t="inlineStr">
        <is>
          <t>+57 323 590 0828</t>
        </is>
      </c>
      <c r="J20" s="11" t="inlineStr">
        <is>
          <t>restaurantebarcal@gmail.com</t>
        </is>
      </c>
      <c r="K20" s="11" t="n"/>
      <c r="L20" s="11" t="inlineStr">
        <is>
          <t>restaurantebarcal.com</t>
        </is>
      </c>
      <c r="M20" s="11" t="inlineStr">
        <is>
          <t>restaurantebarcal.com/contact-us</t>
        </is>
      </c>
      <c r="N20" s="11" t="inlineStr">
        <is>
          <t>Fine dining premiado (La Barra); mesas largas nocturnas.</t>
        </is>
      </c>
    </row>
    <row r="21">
      <c r="A21" s="4" t="n">
        <v>20</v>
      </c>
      <c r="B21" s="9" t="inlineStr">
        <is>
          <t>La Provincia</t>
        </is>
      </c>
      <c r="C21" s="12" t="inlineStr">
        <is>
          <t>B</t>
        </is>
      </c>
      <c r="D21" s="11" t="inlineStr">
        <is>
          <t>El Poblado</t>
        </is>
      </c>
      <c r="E21" s="11" t="inlineStr">
        <is>
          <t>Mediterránea</t>
        </is>
      </c>
      <c r="F21" s="11" t="inlineStr">
        <is>
          <t>Alto</t>
        </is>
      </c>
      <c r="G21" s="11" t="inlineStr">
        <is>
          <t>1</t>
        </is>
      </c>
      <c r="H21" s="11" t="inlineStr">
        <is>
          <t>Pro</t>
        </is>
      </c>
      <c r="I21" s="11" t="inlineStr">
        <is>
          <t>+57 604 322 0192</t>
        </is>
      </c>
      <c r="J21" s="11" t="inlineStr">
        <is>
          <t>reservaslaprovincia@gmail.com</t>
        </is>
      </c>
      <c r="K21" s="11" t="inlineStr">
        <is>
          <t>@laprovinciarestaurante</t>
        </is>
      </c>
      <c r="L21" s="11" t="inlineStr">
        <is>
          <t>laprovinciarestaurante.com</t>
        </is>
      </c>
      <c r="M21" s="11" t="inlineStr">
        <is>
          <t>laprovinciarestaurante.com/contacto</t>
        </is>
      </c>
      <c r="N21" s="11" t="inlineStr">
        <is>
          <t>Almuerzos ejecutivos Milla de Oro; clientela corporativa.</t>
        </is>
      </c>
    </row>
    <row r="22">
      <c r="A22" s="4" t="n">
        <v>21</v>
      </c>
      <c r="B22" s="9" t="inlineStr">
        <is>
          <t>Sibari Restaurant &amp; Rooftop</t>
        </is>
      </c>
      <c r="C22" s="12" t="inlineStr">
        <is>
          <t>B</t>
        </is>
      </c>
      <c r="D22" s="11" t="inlineStr">
        <is>
          <t>El Poblado</t>
        </is>
      </c>
      <c r="E22" s="11" t="inlineStr">
        <is>
          <t>Italiana / rooftop</t>
        </is>
      </c>
      <c r="F22" s="11" t="inlineStr">
        <is>
          <t>Medio-alto</t>
        </is>
      </c>
      <c r="G22" s="11" t="inlineStr">
        <is>
          <t>1 (2 ambientes)</t>
        </is>
      </c>
      <c r="H22" s="11" t="inlineStr">
        <is>
          <t>Pro</t>
        </is>
      </c>
      <c r="I22" s="11" t="inlineStr">
        <is>
          <t>+57 311 831 5328</t>
        </is>
      </c>
      <c r="J22" s="11" t="n"/>
      <c r="K22" s="11" t="inlineStr">
        <is>
          <t>@sibaricocinaitaliana</t>
        </is>
      </c>
      <c r="L22" s="11" t="inlineStr">
        <is>
          <t>sibari.com.co</t>
        </is>
      </c>
      <c r="M22" s="11" t="inlineStr">
        <is>
          <t>sibari.com.co/en/book-a-table</t>
        </is>
      </c>
      <c r="N22" s="11" t="inlineStr">
        <is>
          <t>Rooftop multi-planta: QR reduce idas y vueltas de meseros.</t>
        </is>
      </c>
    </row>
    <row r="23">
      <c r="A23" s="4" t="n">
        <v>22</v>
      </c>
      <c r="B23" s="9" t="inlineStr">
        <is>
          <t>Abbiocco (Hotel Marquee)</t>
        </is>
      </c>
      <c r="C23" s="12" t="inlineStr">
        <is>
          <t>B</t>
        </is>
      </c>
      <c r="D23" s="11" t="inlineStr">
        <is>
          <t>El Poblado</t>
        </is>
      </c>
      <c r="E23" s="11" t="inlineStr">
        <is>
          <t>Italiana</t>
        </is>
      </c>
      <c r="F23" s="11" t="inlineStr">
        <is>
          <t>Medio-alto</t>
        </is>
      </c>
      <c r="G23" s="11" t="inlineStr">
        <is>
          <t>1</t>
        </is>
      </c>
      <c r="H23" s="11" t="inlineStr">
        <is>
          <t>Pro</t>
        </is>
      </c>
      <c r="I23" s="11" t="inlineStr">
        <is>
          <t>+57 324 296 5314</t>
        </is>
      </c>
      <c r="J23" s="11" t="n"/>
      <c r="K23" s="11" t="inlineStr">
        <is>
          <t>@abbioccomedellin</t>
        </is>
      </c>
      <c r="L23" s="11" t="inlineStr">
        <is>
          <t>marqueemedellin.com/abbiocco-restaurant</t>
        </is>
      </c>
      <c r="M23" s="11" t="inlineStr">
        <is>
          <t>marqueemedellin.com</t>
        </is>
      </c>
      <c r="N23" s="11" t="inlineStr">
        <is>
          <t>Desayuno a cena frente al Lleras; turistas → QR multilenguaje.</t>
        </is>
      </c>
    </row>
    <row r="24">
      <c r="A24" s="4" t="n">
        <v>23</v>
      </c>
      <c r="B24" s="9" t="inlineStr">
        <is>
          <t>La Matriarca</t>
        </is>
      </c>
      <c r="C24" s="12" t="inlineStr">
        <is>
          <t>B</t>
        </is>
      </c>
      <c r="D24" s="11" t="inlineStr">
        <is>
          <t>El Poblado</t>
        </is>
      </c>
      <c r="E24" s="11" t="inlineStr">
        <is>
          <t>Colombiana tradicional</t>
        </is>
      </c>
      <c r="F24" s="11" t="inlineStr">
        <is>
          <t>Medio</t>
        </is>
      </c>
      <c r="G24" s="11" t="inlineStr">
        <is>
          <t>1</t>
        </is>
      </c>
      <c r="H24" s="11" t="inlineStr">
        <is>
          <t>Pro</t>
        </is>
      </c>
      <c r="I24" s="11" t="inlineStr">
        <is>
          <t>+57 320 565 2016</t>
        </is>
      </c>
      <c r="J24" s="11" t="n"/>
      <c r="K24" s="11" t="inlineStr">
        <is>
          <t>@restaurantelamatriarca</t>
        </is>
      </c>
      <c r="L24" s="11" t="inlineStr">
        <is>
          <t>sedemedellin.lamatriarca.com</t>
        </is>
      </c>
      <c r="M24" s="11" t="inlineStr">
        <is>
          <t>sedemedellin.lamatriarca.com/reservas</t>
        </is>
      </c>
      <c r="N24" s="11" t="inlineStr">
        <is>
          <t>Volumen turístico todo el día; fines de semana a reventar.</t>
        </is>
      </c>
    </row>
    <row r="25">
      <c r="A25" s="4" t="n">
        <v>24</v>
      </c>
      <c r="B25" s="9" t="inlineStr">
        <is>
          <t>Alambique</t>
        </is>
      </c>
      <c r="C25" s="12" t="inlineStr">
        <is>
          <t>B</t>
        </is>
      </c>
      <c r="D25" s="11" t="inlineStr">
        <is>
          <t>El Poblado</t>
        </is>
      </c>
      <c r="E25" s="11" t="inlineStr">
        <is>
          <t>Autor / small plates</t>
        </is>
      </c>
      <c r="F25" s="11" t="inlineStr">
        <is>
          <t>Medio-alto</t>
        </is>
      </c>
      <c r="G25" s="11" t="inlineStr">
        <is>
          <t>1</t>
        </is>
      </c>
      <c r="H25" s="11" t="inlineStr">
        <is>
          <t>Pro</t>
        </is>
      </c>
      <c r="I25" s="11" t="inlineStr">
        <is>
          <t>+57 310 587 0362</t>
        </is>
      </c>
      <c r="J25" s="11" t="n"/>
      <c r="K25" s="11" t="inlineStr">
        <is>
          <t>@alambiquemedellin</t>
        </is>
      </c>
      <c r="L25" s="11" t="inlineStr">
        <is>
          <t>alambiquemedellin.com</t>
        </is>
      </c>
      <c r="M25" s="11" t="inlineStr">
        <is>
          <t>alambiquemedellin.com</t>
        </is>
      </c>
      <c r="N25" s="11" t="inlineStr">
        <is>
          <t>Rondas múltiples de platos y cócteles — caso ideal de QR.</t>
        </is>
      </c>
    </row>
    <row r="26">
      <c r="A26" s="4" t="n">
        <v>25</v>
      </c>
      <c r="B26" s="9" t="inlineStr">
        <is>
          <t>Romero Cocina Artesanal</t>
        </is>
      </c>
      <c r="C26" s="12" t="inlineStr">
        <is>
          <t>B</t>
        </is>
      </c>
      <c r="D26" s="11" t="inlineStr">
        <is>
          <t>Laureles</t>
        </is>
      </c>
      <c r="E26" s="11" t="inlineStr">
        <is>
          <t>Italiana / pastas</t>
        </is>
      </c>
      <c r="F26" s="11" t="inlineStr">
        <is>
          <t>Medio</t>
        </is>
      </c>
      <c r="G26" s="11" t="inlineStr">
        <is>
          <t>1</t>
        </is>
      </c>
      <c r="H26" s="11" t="inlineStr">
        <is>
          <t>Pro</t>
        </is>
      </c>
      <c r="I26" s="11" t="inlineStr">
        <is>
          <t>+57 315 471 7699</t>
        </is>
      </c>
      <c r="J26" s="11" t="n"/>
      <c r="K26" s="11" t="inlineStr">
        <is>
          <t>@romerococinartesanal</t>
        </is>
      </c>
      <c r="L26" s="11" t="inlineStr">
        <is>
          <t>romerococinartesanal.com.co</t>
        </is>
      </c>
      <c r="M26" s="11" t="inlineStr">
        <is>
          <t>medellingourmet.com (directorio)</t>
        </is>
      </c>
      <c r="N26" s="11" t="inlineStr">
        <is>
          <t>Ya usa pedidos/reservas digitales en su web.</t>
        </is>
      </c>
    </row>
    <row r="27">
      <c r="A27" s="4" t="n">
        <v>26</v>
      </c>
      <c r="B27" s="9" t="inlineStr">
        <is>
          <t>Voraz</t>
        </is>
      </c>
      <c r="C27" s="12" t="inlineStr">
        <is>
          <t>B</t>
        </is>
      </c>
      <c r="D27" s="11" t="inlineStr">
        <is>
          <t>Laureles</t>
        </is>
      </c>
      <c r="E27" s="11" t="inlineStr">
        <is>
          <t>Parrilla / fuego vivo</t>
        </is>
      </c>
      <c r="F27" s="11" t="inlineStr">
        <is>
          <t>Medio</t>
        </is>
      </c>
      <c r="G27" s="11" t="inlineStr">
        <is>
          <t>1</t>
        </is>
      </c>
      <c r="H27" s="11" t="inlineStr">
        <is>
          <t>Pro</t>
        </is>
      </c>
      <c r="I27" s="11" t="inlineStr">
        <is>
          <t>+57 316 221 1687</t>
        </is>
      </c>
      <c r="J27" s="11" t="n"/>
      <c r="K27" s="11" t="inlineStr">
        <is>
          <t>@voraz_</t>
        </is>
      </c>
      <c r="L27" s="11" t="inlineStr">
        <is>
          <t>vorazrestaurante.com.co</t>
        </is>
      </c>
      <c r="M27" s="11" t="inlineStr">
        <is>
          <t>medellingourmet.com (directorio)</t>
        </is>
      </c>
      <c r="N27" s="11" t="inlineStr">
        <is>
          <t>Buen ticket y cultura de reservas.</t>
        </is>
      </c>
    </row>
    <row r="28">
      <c r="A28" s="4" t="n">
        <v>27</v>
      </c>
      <c r="B28" s="9" t="inlineStr">
        <is>
          <t>Fidelina Casa Restaurante</t>
        </is>
      </c>
      <c r="C28" s="12" t="inlineStr">
        <is>
          <t>B</t>
        </is>
      </c>
      <c r="D28" s="11" t="inlineStr">
        <is>
          <t>Laureles</t>
        </is>
      </c>
      <c r="E28" s="11" t="inlineStr">
        <is>
          <t>Colombiana contemporánea</t>
        </is>
      </c>
      <c r="F28" s="11" t="inlineStr">
        <is>
          <t>Medio</t>
        </is>
      </c>
      <c r="G28" s="11" t="inlineStr">
        <is>
          <t>1 (casa 3 pisos)</t>
        </is>
      </c>
      <c r="H28" s="11" t="inlineStr">
        <is>
          <t>Pro</t>
        </is>
      </c>
      <c r="I28" s="11" t="inlineStr">
        <is>
          <t>+57 350 771 0055</t>
        </is>
      </c>
      <c r="J28" s="11" t="n"/>
      <c r="K28" s="11" t="inlineStr">
        <is>
          <t>@fidelinacb</t>
        </is>
      </c>
      <c r="L28" s="11" t="n"/>
      <c r="M28" s="11" t="inlineStr">
        <is>
          <t>restaurantguru.com (Google Business)</t>
        </is>
      </c>
      <c r="N28" s="11" t="inlineStr">
        <is>
          <t>Casa de 3 pisos y terraza: meseros caminan mucho.</t>
        </is>
      </c>
    </row>
    <row r="29">
      <c r="A29" s="4" t="n">
        <v>28</v>
      </c>
      <c r="B29" s="9" t="inlineStr">
        <is>
          <t>La Gloria de Gloria</t>
        </is>
      </c>
      <c r="C29" s="12" t="inlineStr">
        <is>
          <t>B</t>
        </is>
      </c>
      <c r="D29" s="11" t="inlineStr">
        <is>
          <t>Envigado</t>
        </is>
      </c>
      <c r="E29" s="11" t="inlineStr">
        <is>
          <t>Típica antioqueña</t>
        </is>
      </c>
      <c r="F29" s="11" t="inlineStr">
        <is>
          <t>Alto volumen</t>
        </is>
      </c>
      <c r="G29" s="11" t="inlineStr">
        <is>
          <t>1</t>
        </is>
      </c>
      <c r="H29" s="11" t="inlineStr">
        <is>
          <t>Pro</t>
        </is>
      </c>
      <c r="I29" s="11" t="inlineStr">
        <is>
          <t>+57 604 270 1967</t>
        </is>
      </c>
      <c r="J29" s="11" t="n"/>
      <c r="K29" s="11" t="inlineStr">
        <is>
          <t>@lagloriadegloria</t>
        </is>
      </c>
      <c r="L29" s="11" t="inlineStr">
        <is>
          <t>lagloriadegloria.co</t>
        </is>
      </c>
      <c r="M29" s="11" t="inlineStr">
        <is>
          <t>lagloriadegloria.co</t>
        </is>
      </c>
      <c r="N29" s="11" t="inlineStr">
        <is>
          <t>Chicharrón insignia; filas y mesas llenas fin de semana.</t>
        </is>
      </c>
    </row>
    <row r="30">
      <c r="A30" s="4" t="n">
        <v>29</v>
      </c>
      <c r="B30" s="9" t="inlineStr">
        <is>
          <t>El Trifásico</t>
        </is>
      </c>
      <c r="C30" s="12" t="inlineStr">
        <is>
          <t>B</t>
        </is>
      </c>
      <c r="D30" s="11" t="inlineStr">
        <is>
          <t>Envigado</t>
        </is>
      </c>
      <c r="E30" s="11" t="inlineStr">
        <is>
          <t>Típica antioqueña</t>
        </is>
      </c>
      <c r="F30" s="11" t="inlineStr">
        <is>
          <t>Medio</t>
        </is>
      </c>
      <c r="G30" s="11" t="inlineStr">
        <is>
          <t>1</t>
        </is>
      </c>
      <c r="H30" s="11" t="inlineStr">
        <is>
          <t>Pro</t>
        </is>
      </c>
      <c r="I30" s="11" t="inlineStr">
        <is>
          <t>+57 604 270 2102</t>
        </is>
      </c>
      <c r="J30" s="11" t="n"/>
      <c r="K30" s="11" t="inlineStr">
        <is>
          <t>@eltrifasicorestaurantebar</t>
        </is>
      </c>
      <c r="L30" s="11" t="n"/>
      <c r="M30" s="11" t="inlineStr">
        <is>
          <t>envigadoalplato.com (guía local)</t>
        </is>
      </c>
      <c r="N30" s="11" t="inlineStr">
        <is>
          <t>Institución envigadeña; almuerzos de alto volumen.</t>
        </is>
      </c>
    </row>
    <row r="31">
      <c r="A31" s="4" t="n">
        <v>30</v>
      </c>
      <c r="B31" s="9" t="inlineStr">
        <is>
          <t>La Doctora</t>
        </is>
      </c>
      <c r="C31" s="12" t="inlineStr">
        <is>
          <t>B</t>
        </is>
      </c>
      <c r="D31" s="11" t="inlineStr">
        <is>
          <t>Sabaneta</t>
        </is>
      </c>
      <c r="E31" s="11" t="inlineStr">
        <is>
          <t>Parrilla / típica</t>
        </is>
      </c>
      <c r="F31" s="11" t="inlineStr">
        <is>
          <t>Alto volumen</t>
        </is>
      </c>
      <c r="G31" s="11" t="inlineStr">
        <is>
          <t>1 gran formato</t>
        </is>
      </c>
      <c r="H31" s="11" t="inlineStr">
        <is>
          <t>Pro</t>
        </is>
      </c>
      <c r="I31" s="11" t="inlineStr">
        <is>
          <t>+57 604 288 3466</t>
        </is>
      </c>
      <c r="J31" s="11" t="n"/>
      <c r="K31" s="11" t="inlineStr">
        <is>
          <t>@ladoctorarestaurante</t>
        </is>
      </c>
      <c r="L31" s="11" t="inlineStr">
        <is>
          <t>restauranteladoctora.co</t>
        </is>
      </c>
      <c r="M31" s="11" t="inlineStr">
        <is>
          <t>Google Business (polomap)</t>
        </is>
      </c>
      <c r="N31" s="11" t="inlineStr">
        <is>
          <t>Parrilla insignia de Sabaneta; familias y cuentas grandes.</t>
        </is>
      </c>
    </row>
    <row r="32">
      <c r="A32" s="4" t="n">
        <v>31</v>
      </c>
      <c r="B32" s="9" t="inlineStr">
        <is>
          <t>Mama Santa Parrillada</t>
        </is>
      </c>
      <c r="C32" s="12" t="inlineStr">
        <is>
          <t>B</t>
        </is>
      </c>
      <c r="D32" s="11" t="inlineStr">
        <is>
          <t>Sabaneta</t>
        </is>
      </c>
      <c r="E32" s="11" t="inlineStr">
        <is>
          <t>Parrilla / carbón</t>
        </is>
      </c>
      <c r="F32" s="11" t="inlineStr">
        <is>
          <t>Medio</t>
        </is>
      </c>
      <c r="G32" s="11" t="inlineStr">
        <is>
          <t>1</t>
        </is>
      </c>
      <c r="H32" s="11" t="inlineStr">
        <is>
          <t>Pro</t>
        </is>
      </c>
      <c r="I32" s="11" t="inlineStr">
        <is>
          <t>+57 311 719 1298</t>
        </is>
      </c>
      <c r="J32" s="11" t="n"/>
      <c r="K32" s="11" t="inlineStr">
        <is>
          <t>@restaurantemamasanta</t>
        </is>
      </c>
      <c r="L32" s="11" t="n"/>
      <c r="M32" s="11" t="inlineStr">
        <is>
          <t>medellinguru.com (directorio)</t>
        </is>
      </c>
      <c r="N32" s="11" t="inlineStr">
        <is>
          <t>Mesas grandes, música en vivo, cuentas divididas.</t>
        </is>
      </c>
    </row>
    <row r="33">
      <c r="A33" s="4" t="n">
        <v>32</v>
      </c>
      <c r="B33" s="9" t="inlineStr">
        <is>
          <t>El Viejo John</t>
        </is>
      </c>
      <c r="C33" s="12" t="inlineStr">
        <is>
          <t>B</t>
        </is>
      </c>
      <c r="D33" s="11" t="inlineStr">
        <is>
          <t>Sabaneta</t>
        </is>
      </c>
      <c r="E33" s="11" t="inlineStr">
        <is>
          <t>Típica paisa</t>
        </is>
      </c>
      <c r="F33" s="11" t="inlineStr">
        <is>
          <t>Casual-medio</t>
        </is>
      </c>
      <c r="G33" s="11" t="inlineStr">
        <is>
          <t>1</t>
        </is>
      </c>
      <c r="H33" s="11" t="inlineStr">
        <is>
          <t>Esencial</t>
        </is>
      </c>
      <c r="I33" s="11" t="inlineStr">
        <is>
          <t>+57 604 288 7022</t>
        </is>
      </c>
      <c r="J33" s="11" t="n"/>
      <c r="K33" s="11" t="inlineStr">
        <is>
          <t>@rviejojohn</t>
        </is>
      </c>
      <c r="L33" s="11" t="n"/>
      <c r="M33" s="11" t="inlineStr">
        <is>
          <t>medellinguru.com (directorio)</t>
        </is>
      </c>
      <c r="N33" s="11" t="inlineStr">
        <is>
          <t>Típico querido de Sabaneta; lleno fines de semana.</t>
        </is>
      </c>
    </row>
    <row r="34">
      <c r="A34" s="4" t="n">
        <v>33</v>
      </c>
      <c r="B34" s="9" t="inlineStr">
        <is>
          <t>La Coneja</t>
        </is>
      </c>
      <c r="C34" s="12" t="inlineStr">
        <is>
          <t>B</t>
        </is>
      </c>
      <c r="D34" s="11" t="inlineStr">
        <is>
          <t>Sabaneta</t>
        </is>
      </c>
      <c r="E34" s="11" t="inlineStr">
        <is>
          <t>Antioqueña / asados</t>
        </is>
      </c>
      <c r="F34" s="11" t="inlineStr">
        <is>
          <t>Casual-medio</t>
        </is>
      </c>
      <c r="G34" s="11" t="inlineStr">
        <is>
          <t>1</t>
        </is>
      </c>
      <c r="H34" s="11" t="inlineStr">
        <is>
          <t>Esencial</t>
        </is>
      </c>
      <c r="I34" s="11" t="inlineStr">
        <is>
          <t>+57 314 817 3660</t>
        </is>
      </c>
      <c r="J34" s="11" t="n"/>
      <c r="K34" s="11" t="inlineStr">
        <is>
          <t>@laconejarestobar</t>
        </is>
      </c>
      <c r="L34" s="11" t="n"/>
      <c r="M34" s="11" t="inlineStr">
        <is>
          <t>Instagram bio</t>
        </is>
      </c>
      <c r="N34" s="11" t="inlineStr">
        <is>
          <t>20+ años en el parque de Sabaneta.</t>
        </is>
      </c>
    </row>
    <row r="35">
      <c r="A35" s="4" t="n">
        <v>34</v>
      </c>
      <c r="B35" s="9" t="inlineStr">
        <is>
          <t>Bárbaro Cocina Primitiva</t>
        </is>
      </c>
      <c r="C35" s="13" t="inlineStr">
        <is>
          <t>C</t>
        </is>
      </c>
      <c r="D35" s="11" t="inlineStr">
        <is>
          <t>Multi-sede</t>
        </is>
      </c>
      <c r="E35" s="11" t="inlineStr">
        <is>
          <t>Parrilla / carnes</t>
        </is>
      </c>
      <c r="F35" s="11" t="inlineStr">
        <is>
          <t>Medio-alto</t>
        </is>
      </c>
      <c r="G35" s="11" t="inlineStr">
        <is>
          <t>4 sedes</t>
        </is>
      </c>
      <c r="H35" s="11" t="inlineStr">
        <is>
          <t>Premium</t>
        </is>
      </c>
      <c r="I35" s="11" t="n"/>
      <c r="J35" s="11" t="n"/>
      <c r="K35" s="11" t="inlineStr">
        <is>
          <t>@barbarococina</t>
        </is>
      </c>
      <c r="L35" s="11" t="inlineStr">
        <is>
          <t>barbarococinaprimitiva.com</t>
        </is>
      </c>
      <c r="M35" s="11" t="inlineStr">
        <is>
          <t>Teléfono no publicado — contactar por IG/web</t>
        </is>
      </c>
      <c r="N35" s="11" t="inlineStr">
        <is>
          <t>Grupo local 4 sedes (Poblado, Laureles, Viva Envigado).</t>
        </is>
      </c>
    </row>
    <row r="36">
      <c r="A36" s="4" t="n">
        <v>35</v>
      </c>
      <c r="B36" s="9" t="inlineStr">
        <is>
          <t>Il Castello</t>
        </is>
      </c>
      <c r="C36" s="13" t="inlineStr">
        <is>
          <t>C</t>
        </is>
      </c>
      <c r="D36" s="11" t="inlineStr">
        <is>
          <t>El Poblado</t>
        </is>
      </c>
      <c r="E36" s="11" t="inlineStr">
        <is>
          <t>Italiana clásica</t>
        </is>
      </c>
      <c r="F36" s="11" t="inlineStr">
        <is>
          <t>Medio-alto</t>
        </is>
      </c>
      <c r="G36" s="11" t="inlineStr">
        <is>
          <t>1</t>
        </is>
      </c>
      <c r="H36" s="11" t="inlineStr">
        <is>
          <t>Pro</t>
        </is>
      </c>
      <c r="I36" s="11" t="n"/>
      <c r="J36" s="11" t="n"/>
      <c r="K36" s="11" t="inlineStr">
        <is>
          <t>@ilcastello_restaurante</t>
        </is>
      </c>
      <c r="L36" s="11" t="inlineStr">
        <is>
          <t>ilcastello.co</t>
        </is>
      </c>
      <c r="M36" s="11" t="inlineStr">
        <is>
          <t>No hallado en fuente oficial</t>
        </is>
      </c>
      <c r="N36" s="11" t="inlineStr">
        <is>
          <t>Institución de ~20 años; doble turno con reservas.</t>
        </is>
      </c>
    </row>
    <row r="37">
      <c r="A37" s="4" t="n">
        <v>36</v>
      </c>
      <c r="B37" s="9" t="inlineStr">
        <is>
          <t>Ammazza Pizzería &amp; Gin Garden</t>
        </is>
      </c>
      <c r="C37" s="13" t="inlineStr">
        <is>
          <t>C</t>
        </is>
      </c>
      <c r="D37" s="11" t="inlineStr">
        <is>
          <t>El Poblado</t>
        </is>
      </c>
      <c r="E37" s="11" t="inlineStr">
        <is>
          <t>Pizzería + gin bar</t>
        </is>
      </c>
      <c r="F37" s="11" t="inlineStr">
        <is>
          <t>Medio</t>
        </is>
      </c>
      <c r="G37" s="11" t="inlineStr">
        <is>
          <t>1</t>
        </is>
      </c>
      <c r="H37" s="11" t="inlineStr">
        <is>
          <t>Pro</t>
        </is>
      </c>
      <c r="I37" s="11" t="n"/>
      <c r="J37" s="11" t="n"/>
      <c r="K37" s="11" t="inlineStr">
        <is>
          <t>@ammazzareservado</t>
        </is>
      </c>
      <c r="L37" s="11" t="inlineStr">
        <is>
          <t>ammazza.com.co</t>
        </is>
      </c>
      <c r="M37" s="11" t="inlineStr">
        <is>
          <t>No publicado — contactar por IG</t>
        </is>
      </c>
      <c r="N37" s="11" t="inlineStr">
        <is>
          <t>Garden bar nocturno; reorden de tragos por QR sube ticket.</t>
        </is>
      </c>
    </row>
    <row r="38">
      <c r="A38" s="4" t="n">
        <v>37</v>
      </c>
      <c r="B38" s="9" t="inlineStr">
        <is>
          <t>Burdo</t>
        </is>
      </c>
      <c r="C38" s="13" t="inlineStr">
        <is>
          <t>C</t>
        </is>
      </c>
      <c r="D38" s="11" t="inlineStr">
        <is>
          <t>El Poblado</t>
        </is>
      </c>
      <c r="E38" s="11" t="inlineStr">
        <is>
          <t>Gastrobar</t>
        </is>
      </c>
      <c r="F38" s="11" t="inlineStr">
        <is>
          <t>Medio</t>
        </is>
      </c>
      <c r="G38" s="11" t="inlineStr">
        <is>
          <t>1</t>
        </is>
      </c>
      <c r="H38" s="11" t="inlineStr">
        <is>
          <t>Pro</t>
        </is>
      </c>
      <c r="I38" s="11" t="n"/>
      <c r="J38" s="11" t="n"/>
      <c r="K38" s="11" t="inlineStr">
        <is>
          <t>@burdo.mde</t>
        </is>
      </c>
      <c r="L38" s="11" t="n"/>
      <c r="M38" s="11" t="inlineStr">
        <is>
          <t>No hallado en fuente oficial</t>
        </is>
      </c>
      <c r="N38" s="11" t="inlineStr">
        <is>
          <t>Gastrobar de alto tráfico en Provenza.</t>
        </is>
      </c>
    </row>
    <row r="39">
      <c r="A39" s="4" t="n">
        <v>38</v>
      </c>
      <c r="B39" s="9" t="inlineStr">
        <is>
          <t>El Tabun</t>
        </is>
      </c>
      <c r="C39" s="13" t="inlineStr">
        <is>
          <t>C</t>
        </is>
      </c>
      <c r="D39" s="11" t="inlineStr">
        <is>
          <t>Las Palmas</t>
        </is>
      </c>
      <c r="E39" s="11" t="inlineStr">
        <is>
          <t>Árabe / Medio Oriente</t>
        </is>
      </c>
      <c r="F39" s="11" t="inlineStr">
        <is>
          <t>Medio-alto</t>
        </is>
      </c>
      <c r="G39" s="11" t="inlineStr">
        <is>
          <t>1</t>
        </is>
      </c>
      <c r="H39" s="11" t="inlineStr">
        <is>
          <t>Pro</t>
        </is>
      </c>
      <c r="I39" s="11" t="n"/>
      <c r="J39" s="11" t="n"/>
      <c r="K39" s="11" t="inlineStr">
        <is>
          <t>@eltabun</t>
        </is>
      </c>
      <c r="L39" s="11" t="inlineStr">
        <is>
          <t>eltabun.com</t>
        </is>
      </c>
      <c r="M39" s="11" t="inlineStr">
        <is>
          <t>WhatsApp solo vía widget del sitio</t>
        </is>
      </c>
      <c r="N39" s="11" t="inlineStr">
        <is>
          <t>Familiar consolidado desde 2008; platos para compartir.</t>
        </is>
      </c>
    </row>
    <row r="40">
      <c r="A40" s="4" t="n">
        <v>39</v>
      </c>
      <c r="B40" s="9" t="inlineStr">
        <is>
          <t>Ajiacos y Mondongos</t>
        </is>
      </c>
      <c r="C40" s="13" t="inlineStr">
        <is>
          <t>C</t>
        </is>
      </c>
      <c r="D40" s="11" t="inlineStr">
        <is>
          <t>El Poblado</t>
        </is>
      </c>
      <c r="E40" s="11" t="inlineStr">
        <is>
          <t>Sopas colombianas</t>
        </is>
      </c>
      <c r="F40" s="11" t="inlineStr">
        <is>
          <t>Casual</t>
        </is>
      </c>
      <c r="G40" s="11" t="inlineStr">
        <is>
          <t>1</t>
        </is>
      </c>
      <c r="H40" s="11" t="inlineStr">
        <is>
          <t>Esencial</t>
        </is>
      </c>
      <c r="I40" s="11" t="n"/>
      <c r="J40" s="11" t="n"/>
      <c r="K40" s="11" t="inlineStr">
        <is>
          <t>@ajiacosymondongos</t>
        </is>
      </c>
      <c r="L40" s="11" t="n"/>
      <c r="M40" s="11" t="inlineStr">
        <is>
          <t>No hallado en fuente oficial</t>
        </is>
      </c>
      <c r="N40" s="11" t="inlineStr">
        <is>
          <t>Leyenda local solo-almuerzo; fila diaria, rotación rápida.</t>
        </is>
      </c>
    </row>
    <row r="41">
      <c r="A41" s="4" t="n">
        <v>40</v>
      </c>
      <c r="B41" s="9" t="inlineStr">
        <is>
          <t>Delirio Exquisito</t>
        </is>
      </c>
      <c r="C41" s="13" t="inlineStr">
        <is>
          <t>C</t>
        </is>
      </c>
      <c r="D41" s="11" t="inlineStr">
        <is>
          <t>Laureles</t>
        </is>
      </c>
      <c r="E41" s="11" t="inlineStr">
        <is>
          <t>Fusión mexicano-oriental</t>
        </is>
      </c>
      <c r="F41" s="11" t="inlineStr">
        <is>
          <t>Medio</t>
        </is>
      </c>
      <c r="G41" s="11" t="inlineStr">
        <is>
          <t>2 sedes</t>
        </is>
      </c>
      <c r="H41" s="11" t="inlineStr">
        <is>
          <t>Pro</t>
        </is>
      </c>
      <c r="I41" s="11" t="n"/>
      <c r="J41" s="11" t="n"/>
      <c r="K41" s="11" t="inlineStr">
        <is>
          <t>@delirioexquisito</t>
        </is>
      </c>
      <c r="L41" s="11" t="inlineStr">
        <is>
          <t>deliriorestaurante.com.co</t>
        </is>
      </c>
      <c r="M41" s="11" t="inlineStr">
        <is>
          <t>Sitio solo tiene formulario</t>
        </is>
      </c>
      <c r="N41" s="11" t="inlineStr">
        <is>
          <t>VERIFICAR: posible cliente actual de MESAPAY (DELIRIO).</t>
        </is>
      </c>
    </row>
    <row r="42">
      <c r="A42" s="4" t="n">
        <v>41</v>
      </c>
      <c r="B42" s="9" t="inlineStr">
        <is>
          <t>Múcura</t>
        </is>
      </c>
      <c r="C42" s="13" t="inlineStr">
        <is>
          <t>C</t>
        </is>
      </c>
      <c r="D42" s="11" t="inlineStr">
        <is>
          <t>La 70</t>
        </is>
      </c>
      <c r="E42" s="11" t="inlineStr">
        <is>
          <t>Caribeña / mariscos</t>
        </is>
      </c>
      <c r="F42" s="11" t="inlineStr">
        <is>
          <t>Medio</t>
        </is>
      </c>
      <c r="G42" s="11" t="inlineStr">
        <is>
          <t>2 sedes</t>
        </is>
      </c>
      <c r="H42" s="11" t="inlineStr">
        <is>
          <t>Pro</t>
        </is>
      </c>
      <c r="I42" s="11" t="n"/>
      <c r="J42" s="11" t="n"/>
      <c r="K42" s="11" t="inlineStr">
        <is>
          <t>@mucurarestaurante</t>
        </is>
      </c>
      <c r="L42" s="11" t="n"/>
      <c r="M42" s="11" t="inlineStr">
        <is>
          <t>No encontrado en fuente oficial</t>
        </is>
      </c>
      <c r="N42" s="11" t="inlineStr">
        <is>
          <t>Ticket alto, música en vivo los domingos.</t>
        </is>
      </c>
    </row>
    <row r="43">
      <c r="A43" s="4" t="n">
        <v>42</v>
      </c>
      <c r="B43" s="9" t="inlineStr">
        <is>
          <t>La Tienda de la 70</t>
        </is>
      </c>
      <c r="C43" s="13" t="inlineStr">
        <is>
          <t>C</t>
        </is>
      </c>
      <c r="D43" s="11" t="inlineStr">
        <is>
          <t>La 70</t>
        </is>
      </c>
      <c r="E43" s="11" t="inlineStr">
        <is>
          <t>Paisa + bar / shows</t>
        </is>
      </c>
      <c r="F43" s="11" t="inlineStr">
        <is>
          <t>Alto volumen</t>
        </is>
      </c>
      <c r="G43" s="11" t="inlineStr">
        <is>
          <t>1 gran formato</t>
        </is>
      </c>
      <c r="H43" s="11" t="inlineStr">
        <is>
          <t>Pro</t>
        </is>
      </c>
      <c r="I43" s="11" t="n"/>
      <c r="J43" s="11" t="n"/>
      <c r="K43" s="11" t="inlineStr">
        <is>
          <t>@latiendadela70</t>
        </is>
      </c>
      <c r="L43" s="11" t="inlineStr">
        <is>
          <t>la-tienda-de-la-70.cluvi.co</t>
        </is>
      </c>
      <c r="M43" s="11" t="inlineStr">
        <is>
          <t>No hallado en fuente oficial</t>
        </is>
      </c>
      <c r="N43" s="11" t="inlineStr">
        <is>
          <t>Ya usa carta digital (Cluvi) → migración fácil; abre 8am-4am.</t>
        </is>
      </c>
    </row>
    <row r="44">
      <c r="A44" s="4" t="n">
        <v>43</v>
      </c>
      <c r="B44" s="9" t="inlineStr">
        <is>
          <t>Barbacoa Burger &amp; Beer</t>
        </is>
      </c>
      <c r="C44" s="13" t="inlineStr">
        <is>
          <t>C</t>
        </is>
      </c>
      <c r="D44" s="11" t="inlineStr">
        <is>
          <t>Multi-sede</t>
        </is>
      </c>
      <c r="E44" s="11" t="inlineStr">
        <is>
          <t>Hamburguesas gourmet</t>
        </is>
      </c>
      <c r="F44" s="11" t="inlineStr">
        <is>
          <t>Medio</t>
        </is>
      </c>
      <c r="G44" s="11" t="inlineStr">
        <is>
          <t>4+ sedes</t>
        </is>
      </c>
      <c r="H44" s="11" t="inlineStr">
        <is>
          <t>Premium</t>
        </is>
      </c>
      <c r="I44" s="11" t="n"/>
      <c r="J44" s="11" t="n"/>
      <c r="K44" s="11" t="inlineStr">
        <is>
          <t>@barbacoabnb</t>
        </is>
      </c>
      <c r="L44" s="11" t="inlineStr">
        <is>
          <t>barbacoabnb.com</t>
        </is>
      </c>
      <c r="M44" s="11" t="inlineStr">
        <is>
          <t>Solo IG en el sitio</t>
        </is>
      </c>
      <c r="N44" s="11" t="inlineStr">
        <is>
          <t>Ya usa pedidos digitales (Justo) → migración natural.</t>
        </is>
      </c>
    </row>
    <row r="45">
      <c r="A45" s="4" t="n">
        <v>44</v>
      </c>
      <c r="B45" s="9" t="inlineStr">
        <is>
          <t>Parmessano</t>
        </is>
      </c>
      <c r="C45" s="13" t="inlineStr">
        <is>
          <t>C</t>
        </is>
      </c>
      <c r="D45" s="11" t="inlineStr">
        <is>
          <t>Multi-sede</t>
        </is>
      </c>
      <c r="E45" s="11" t="inlineStr">
        <is>
          <t>Italiana</t>
        </is>
      </c>
      <c r="F45" s="11" t="inlineStr">
        <is>
          <t>Cadena</t>
        </is>
      </c>
      <c r="G45" s="11" t="inlineStr">
        <is>
          <t>10+ sedes</t>
        </is>
      </c>
      <c r="H45" s="11" t="inlineStr">
        <is>
          <t>Premium</t>
        </is>
      </c>
      <c r="I45" s="11" t="n"/>
      <c r="J45" s="11" t="n"/>
      <c r="K45" s="11" t="inlineStr">
        <is>
          <t>@parmessano</t>
        </is>
      </c>
      <c r="L45" s="11" t="inlineStr">
        <is>
          <t>parmessano.com.co</t>
        </is>
      </c>
      <c r="M45" s="11" t="inlineStr">
        <is>
          <t>Sitio bloquea bots; sin datos públicos</t>
        </is>
      </c>
      <c r="N45" s="11" t="inlineStr">
        <is>
          <t>Cadena de malls de alta rotación; contactar por IG.</t>
        </is>
      </c>
    </row>
    <row r="46">
      <c r="A46" s="4" t="n">
        <v>45</v>
      </c>
      <c r="B46" s="9" t="inlineStr">
        <is>
          <t>Crepes &amp; Waffles (Medellín)</t>
        </is>
      </c>
      <c r="C46" s="13" t="inlineStr">
        <is>
          <t>C</t>
        </is>
      </c>
      <c r="D46" s="11" t="inlineStr">
        <is>
          <t>Multi-sede</t>
        </is>
      </c>
      <c r="E46" s="11" t="inlineStr">
        <is>
          <t>Casual familiar</t>
        </is>
      </c>
      <c r="F46" s="11" t="inlineStr">
        <is>
          <t>Cadena nacional</t>
        </is>
      </c>
      <c r="G46" s="11" t="inlineStr">
        <is>
          <t>8+ sedes MDE</t>
        </is>
      </c>
      <c r="H46" s="11" t="inlineStr">
        <is>
          <t>Premium</t>
        </is>
      </c>
      <c r="I46" s="11" t="n"/>
      <c r="J46" s="11" t="n"/>
      <c r="K46" s="11" t="inlineStr">
        <is>
          <t>@crepesywaffles</t>
        </is>
      </c>
      <c r="L46" s="11" t="inlineStr">
        <is>
          <t>crepesywaffles.com</t>
        </is>
      </c>
      <c r="M46" s="11" t="inlineStr">
        <is>
          <t>Solo formulario de contacto</t>
        </is>
      </c>
      <c r="N46" s="11" t="inlineStr">
        <is>
          <t>Referencia/aspiracional: máximo volumen por sede.</t>
        </is>
      </c>
    </row>
    <row r="47">
      <c r="A47" s="4" t="n">
        <v>46</v>
      </c>
      <c r="B47" s="9" t="inlineStr">
        <is>
          <t>Heladería Blancas [mostrador]</t>
        </is>
      </c>
      <c r="C47" s="13" t="inlineStr">
        <is>
          <t>C</t>
        </is>
      </c>
      <c r="D47" s="11" t="inlineStr">
        <is>
          <t>Sabaneta</t>
        </is>
      </c>
      <c r="E47" s="11" t="inlineStr">
        <is>
          <t>Heladería</t>
        </is>
      </c>
      <c r="F47" s="11" t="inlineStr">
        <is>
          <t>Mostrador / filas</t>
        </is>
      </c>
      <c r="G47" s="11" t="inlineStr">
        <is>
          <t>1</t>
        </is>
      </c>
      <c r="H47" s="11" t="inlineStr">
        <is>
          <t>Esencial</t>
        </is>
      </c>
      <c r="I47" s="11" t="n"/>
      <c r="J47" s="11" t="n"/>
      <c r="K47" s="11" t="n"/>
      <c r="L47" s="11" t="n"/>
      <c r="M47" s="11" t="inlineStr">
        <is>
          <t>No encontrado (solo Rappi/Facebook)</t>
        </is>
      </c>
      <c r="N47" s="11" t="inlineStr">
        <is>
          <t>Caso tipo Percimon: filas grandes → pedido QR sin fila.</t>
        </is>
      </c>
    </row>
  </sheetData>
  <autoFilter ref="A1:N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2026-06-10T05:15:20Z</dcterms:created>
  <dcterms:modified xsi:type="dcterms:W3CDTF">2026-06-10T05:15:20Z</dcterms:modified>
</cp:coreProperties>
</file>